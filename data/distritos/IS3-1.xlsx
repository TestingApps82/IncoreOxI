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45A73FF4-A486-4F5C-9CCF-29E84116D570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  <c r="E63" i="1"/>
  <c r="E64" i="1"/>
  <c r="E65" i="1"/>
  <c r="E66" i="1"/>
  <c r="E67" i="1"/>
  <c r="E68" i="1"/>
  <c r="E69" i="1"/>
  <c r="E70" i="1"/>
  <c r="E71" i="1"/>
  <c r="E73" i="1"/>
  <c r="E74" i="1"/>
  <c r="E75" i="1"/>
  <c r="E76" i="1"/>
  <c r="E77" i="1"/>
  <c r="E78" i="1"/>
  <c r="E37" i="1"/>
  <c r="E38" i="1"/>
  <c r="E39" i="1"/>
  <c r="E40" i="1"/>
  <c r="E41" i="1"/>
  <c r="E42" i="1"/>
  <c r="E43" i="1"/>
  <c r="E44" i="1"/>
  <c r="E46" i="1"/>
  <c r="E47" i="1"/>
  <c r="E49" i="1"/>
  <c r="E51" i="1"/>
  <c r="E52" i="1"/>
  <c r="E54" i="1"/>
  <c r="E55" i="1"/>
  <c r="E56" i="1"/>
  <c r="E57" i="1"/>
  <c r="E58" i="1"/>
  <c r="E59" i="1"/>
  <c r="E60" i="1"/>
  <c r="E4" i="1"/>
  <c r="E5" i="1"/>
  <c r="E6" i="1"/>
  <c r="E7" i="1"/>
  <c r="E8" i="1"/>
  <c r="E10" i="1"/>
  <c r="E11" i="1"/>
  <c r="E12" i="1"/>
  <c r="E13" i="1"/>
  <c r="E14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2" i="1"/>
</calcChain>
</file>

<file path=xl/sharedStrings.xml><?xml version="1.0" encoding="utf-8"?>
<sst xmlns="http://schemas.openxmlformats.org/spreadsheetml/2006/main" count="303" uniqueCount="225">
  <si>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</si>
  <si>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</si>
  <si>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</si>
  <si>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</si>
  <si>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</si>
  <si>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</si>
  <si>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</si>
  <si>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</si>
  <si>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</si>
  <si>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</si>
  <si>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</si>
  <si>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</si>
  <si>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</si>
  <si>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</si>
  <si>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</si>
  <si>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</si>
  <si>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</si>
  <si>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</si>
  <si>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</si>
  <si>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</si>
  <si>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</si>
  <si>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</si>
  <si>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</si>
  <si>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</si>
  <si>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</si>
  <si>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</si>
  <si>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</si>
  <si>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</si>
  <si>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</si>
  <si>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</si>
  <si>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</si>
  <si>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</si>
  <si>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</si>
  <si>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</si>
  <si>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</si>
  <si>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</si>
  <si>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</si>
  <si>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</si>
  <si>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</si>
  <si>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</si>
  <si>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</si>
  <si>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</si>
  <si>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</si>
  <si>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</si>
  <si>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</si>
  <si>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</si>
  <si>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</si>
  <si>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</si>
  <si>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</si>
  <si>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</si>
  <si>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</si>
  <si>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</si>
  <si>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</si>
  <si>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</si>
  <si>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</si>
  <si>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</si>
  <si>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</si>
  <si>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</si>
  <si>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</si>
  <si>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</si>
  <si>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</si>
  <si>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</si>
  <si>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</si>
  <si>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</si>
  <si>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</si>
  <si>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</si>
  <si>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</si>
  <si>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</si>
  <si>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</si>
  <si>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</si>
  <si>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</si>
  <si>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</si>
  <si>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</si>
  <si>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</si>
  <si>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</si>
  <si>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</si>
  <si>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</si>
  <si>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</si>
  <si>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</si>
  <si>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</si>
  <si>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</si>
  <si>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</si>
  <si>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</si>
  <si>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</si>
  <si>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</si>
  <si>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</si>
  <si>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</si>
  <si>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</si>
  <si>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</si>
  <si>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</si>
  <si>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</si>
  <si>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</si>
  <si>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</si>
  <si>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</si>
  <si>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</si>
  <si>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</si>
  <si>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</si>
  <si>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</si>
  <si>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</si>
  <si>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</si>
  <si>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</si>
  <si>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</si>
  <si>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</si>
  <si>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</si>
  <si>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</si>
  <si>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</si>
  <si>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</si>
  <si>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</si>
  <si>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</si>
  <si>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</si>
  <si>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</si>
  <si>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</si>
  <si>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</si>
  <si>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</si>
  <si>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</si>
  <si>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</si>
  <si>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</si>
  <si>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</si>
  <si>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</si>
  <si>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</si>
  <si>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</si>
  <si>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</si>
  <si>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</si>
  <si>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</si>
  <si>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</si>
  <si>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</si>
  <si>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</si>
  <si>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</si>
  <si>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</si>
  <si>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</si>
  <si>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</si>
  <si>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</si>
  <si>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</si>
  <si>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</si>
  <si>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</si>
  <si>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</si>
  <si>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</si>
  <si>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</si>
  <si>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</si>
  <si>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</si>
  <si>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</si>
  <si>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</si>
  <si>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</si>
  <si>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</si>
  <si>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</si>
  <si>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</si>
  <si>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</si>
  <si>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</si>
  <si>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</si>
  <si>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</si>
  <si>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</si>
  <si>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</si>
  <si>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</si>
  <si>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</si>
  <si>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</si>
  <si>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</si>
  <si>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</si>
  <si>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</si>
  <si>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</si>
  <si>
    <t>MUNICIPALIDAD DISTRITAL DE AGUA BLANCA</t>
  </si>
  <si>
    <t>MUNICIPALIDAD DISTRITAL DE ALONSO DE ALVARADO</t>
  </si>
  <si>
    <t>MUNICIPALIDAD DISTRITAL DE ALTO BIAVO</t>
  </si>
  <si>
    <t>MUNICIPALIDAD DISTRITAL DE ALTO SAPOSOA</t>
  </si>
  <si>
    <t>MUNICIPALIDAD DISTRITAL DE AWAJUN</t>
  </si>
  <si>
    <t>MUNICIPALIDAD DISTRITAL DE BAJO BIAVO</t>
  </si>
  <si>
    <t>MUNICIPALIDAD DISTRITAL DE BUENOS AIRES</t>
  </si>
  <si>
    <t>MUNICIPALIDAD DISTRITAL DE CACATACHI</t>
  </si>
  <si>
    <t>MUNICIPALIDAD DISTRITAL DE CALZADA</t>
  </si>
  <si>
    <t>MUNICIPALIDAD DISTRITAL DE CAMPANILLA</t>
  </si>
  <si>
    <t>MUNICIPALIDAD DISTRITAL DE CAYNARACHI</t>
  </si>
  <si>
    <t>MUNICIPALIDAD DISTRITAL DE CHAZUTA</t>
  </si>
  <si>
    <t>MUNICIPALIDAD DISTRITAL DE CHIPURANA</t>
  </si>
  <si>
    <t>MUNICIPALIDAD DISTRITAL DE CUÑUMBUQUI</t>
  </si>
  <si>
    <t>MUNICIPALIDAD DISTRITAL DE EL ESLABON</t>
  </si>
  <si>
    <t>MUNICIPALIDAD DISTRITAL DE EL PORVENIR - SAN MARTIN</t>
  </si>
  <si>
    <t>MUNICIPALIDAD DISTRITAL DE ELIAS SOPLIN VARGAS</t>
  </si>
  <si>
    <t>MUNICIPALIDAD DISTRITAL DE HABANA</t>
  </si>
  <si>
    <t>MUNICIPALIDAD DISTRITAL DE HUICUNGO</t>
  </si>
  <si>
    <t>MUNICIPALIDAD DISTRITAL DE JEPELACIO</t>
  </si>
  <si>
    <t>MUNICIPALIDAD DISTRITAL DE JUAN GUERRA</t>
  </si>
  <si>
    <t>MUNICIPALIDAD DISTRITAL DE LA BANDA DE SHILCAYO</t>
  </si>
  <si>
    <t>MUNICIPALIDAD DISTRITAL DE MORALES</t>
  </si>
  <si>
    <t>MUNICIPALIDAD DISTRITAL DE NUEVA CAJAMARCA</t>
  </si>
  <si>
    <t>MUNICIPALIDAD DISTRITAL DE NUEVO PROGRESO</t>
  </si>
  <si>
    <t>MUNICIPALIDAD DISTRITAL DE PACHIZA</t>
  </si>
  <si>
    <t>MUNICIPALIDAD DISTRITAL DE PAJARILLO</t>
  </si>
  <si>
    <t>MUNICIPALIDAD DISTRITAL DE PAPAPLAYA</t>
  </si>
  <si>
    <t>MUNICIPALIDAD DISTRITAL DE PARDO MIGUEL</t>
  </si>
  <si>
    <t>MUNICIPALIDAD DISTRITAL DE PILLUANA</t>
  </si>
  <si>
    <t>MUNICIPALIDAD DISTRITAL DE PINTO RECODO</t>
  </si>
  <si>
    <t>MUNICIPALIDAD DISTRITAL DE PISCOYACU</t>
  </si>
  <si>
    <t>MUNICIPALIDAD DISTRITAL DE POLVORA</t>
  </si>
  <si>
    <t>MUNICIPALIDAD DISTRITAL DE PUCACACA</t>
  </si>
  <si>
    <t>MUNICIPALIDAD DISTRITAL DE SACANCHE</t>
  </si>
  <si>
    <t>MUNICIPALIDAD DISTRITAL DE SAN CRISTOBAL - SAN MARTIN</t>
  </si>
  <si>
    <t>MUNICIPALIDAD DISTRITAL DE SAN MARTIN</t>
  </si>
  <si>
    <t>MUNICIPALIDAD DISTRITAL DE SAN PABLO</t>
  </si>
  <si>
    <t>MUNICIPALIDAD DISTRITAL DE SAN RAFAEL - SAN MARTIN</t>
  </si>
  <si>
    <t>MUNICIPALIDAD DISTRITAL DE SAN ROQUE DE CUMBAZA</t>
  </si>
  <si>
    <t>MUNICIPALIDAD DISTRITAL DE SANTA LUCIA</t>
  </si>
  <si>
    <t>MUNICIPALIDAD DISTRITAL DE SANTA ROSA - SAN MARTIN</t>
  </si>
  <si>
    <t>MUNICIPALIDAD DISTRITAL DE SHAMBOYACU</t>
  </si>
  <si>
    <t>MUNICIPALIDAD DISTRITAL DE SHANAO</t>
  </si>
  <si>
    <t>MUNICIPALIDAD DISTRITAL DE SHAPAJA</t>
  </si>
  <si>
    <t>MUNICIPALIDAD DISTRITAL DE SHATOJA</t>
  </si>
  <si>
    <t>MUNICIPALIDAD DISTRITAL DE SHUNTE</t>
  </si>
  <si>
    <t>MUNICIPALIDAD DISTRITAL DE SORITOR</t>
  </si>
  <si>
    <t>MUNICIPALIDAD DISTRITAL DE TABALOSOS</t>
  </si>
  <si>
    <t>MUNICIPALIDAD DISTRITAL DE TINGO DE PONASA</t>
  </si>
  <si>
    <t>MUNICIPALIDAD DISTRITAL DE TRES UNIDOS</t>
  </si>
  <si>
    <t>MUNICIPALIDAD DISTRITAL DE UCHIZA</t>
  </si>
  <si>
    <t>MUNICIPALIDAD DISTRITAL DE YANTALO</t>
  </si>
  <si>
    <t>MUNICIPALIDAD DISTRITAL DE YORONGOS</t>
  </si>
  <si>
    <t>MUNICIPALIDAD DISTRITAL DE YURACYACU</t>
  </si>
  <si>
    <t>MUNICIPALIDAD DISTRITAL SAN FERNANDO</t>
  </si>
  <si>
    <t>MUNICIPALIDAD PROVINCIAL DE BELLAVISTA</t>
  </si>
  <si>
    <t>MUNICIPALIDAD PROVINCIAL DE EL DORADO</t>
  </si>
  <si>
    <t>MUNICIPALIDAD PROVINCIAL DE HUALLAGA</t>
  </si>
  <si>
    <t>MUNICIPALIDAD PROVINCIAL DE LAMAS</t>
  </si>
  <si>
    <t>MUNICIPALIDAD PROVINCIAL DE MARISCAL CACERES</t>
  </si>
  <si>
    <t>MUNICIPALIDAD PROVINCIAL DE MOYOBAMBA</t>
  </si>
  <si>
    <t>MUNICIPALIDAD PROVINCIAL DE PICOTA</t>
  </si>
  <si>
    <t>MUNICIPALIDAD PROVINCIAL DE RIOJA</t>
  </si>
  <si>
    <t>MUNICIPALIDAD PROVINCIAL DE SAN MARTIN</t>
  </si>
  <si>
    <t>MUNICIPALIDAD PROVINCIAL DE TOCACHE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</si>
</sst>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9"/>
  <sheetViews>
    <sheetView tabSelected="1" workbookViewId="0">
      <pane ySplit="1" topLeftCell="A56" activePane="bottomLeft" state="frozen"/>
      <selection pane="bottomLeft" activeCell="F87" sqref="F87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  <col min="6" max="6" width="57.42578125" bestFit="1" customWidth="1"/>
  </cols>
  <sheetData>
    <row r="1" spans="1:7" x14ac:dyDescent="0.2">
      <c r="A1" s="1" t="s">
        <v>157</v>
      </c>
      <c r="B1" s="1" t="s">
        <v>156</v>
      </c>
      <c r="C1" s="1" t="s">
        <v>158</v>
      </c>
    </row>
    <row r="2" spans="1:7" x14ac:dyDescent="0.2">
      <c r="A2" s="3" t="s">
        <v>91</v>
      </c>
      <c r="B2" s="4" t="s">
        <v>49</v>
      </c>
      <c r="C2" s="5">
        <f>+IFERROR(VLOOKUP(A2,E2:G78,3,FALSE),"-")</f>
        <v>0</v>
      </c>
      <c r="E2" t="str">
        <f>+A2</f>
        <v>220302</v>
      </c>
      <c r="F2" t="s">
        <v>159</v>
      </c>
      <c r="G2">
        <v>0</v>
      </c>
    </row>
    <row r="3" spans="1:7" x14ac:dyDescent="0.2">
      <c r="A3" s="3" t="s">
        <v>137</v>
      </c>
      <c r="B3" s="4" t="s">
        <v>34</v>
      </c>
      <c r="C3" s="5" t="str">
        <f t="shared" ref="C3:C66" si="0">+IFERROR(VLOOKUP(A3,E3:G79,3,FALSE),"-")</f>
        <v>-</v>
      </c>
    </row>
    <row r="4" spans="1:7" x14ac:dyDescent="0.2">
      <c r="A4" s="3" t="s">
        <v>102</v>
      </c>
      <c r="B4" s="4" t="s">
        <v>27</v>
      </c>
      <c r="C4" s="5">
        <f t="shared" si="0"/>
        <v>4</v>
      </c>
      <c r="E4" t="str">
        <f t="shared" ref="E3:E66" si="1">+A4</f>
        <v>220502</v>
      </c>
      <c r="F4" t="s">
        <v>160</v>
      </c>
      <c r="G4">
        <v>4</v>
      </c>
    </row>
    <row r="5" spans="1:7" x14ac:dyDescent="0.2">
      <c r="A5" s="3" t="s">
        <v>85</v>
      </c>
      <c r="B5" s="4" t="s">
        <v>74</v>
      </c>
      <c r="C5" s="5">
        <f t="shared" si="0"/>
        <v>0</v>
      </c>
      <c r="E5" t="str">
        <f t="shared" si="1"/>
        <v>220202</v>
      </c>
      <c r="F5" t="s">
        <v>161</v>
      </c>
      <c r="G5">
        <v>0</v>
      </c>
    </row>
    <row r="6" spans="1:7" x14ac:dyDescent="0.2">
      <c r="A6" s="3" t="s">
        <v>96</v>
      </c>
      <c r="B6" s="4" t="s">
        <v>65</v>
      </c>
      <c r="C6" s="5">
        <f t="shared" si="0"/>
        <v>0</v>
      </c>
      <c r="E6" t="str">
        <f t="shared" si="1"/>
        <v>220402</v>
      </c>
      <c r="F6" t="s">
        <v>162</v>
      </c>
      <c r="G6">
        <v>0</v>
      </c>
    </row>
    <row r="7" spans="1:7" x14ac:dyDescent="0.2">
      <c r="A7" s="3" t="s">
        <v>128</v>
      </c>
      <c r="B7" s="4" t="s">
        <v>55</v>
      </c>
      <c r="C7" s="5">
        <f t="shared" si="0"/>
        <v>0</v>
      </c>
      <c r="E7" t="str">
        <f t="shared" si="1"/>
        <v>220802</v>
      </c>
      <c r="F7" t="s">
        <v>163</v>
      </c>
      <c r="G7">
        <v>0</v>
      </c>
    </row>
    <row r="8" spans="1:7" x14ac:dyDescent="0.2">
      <c r="A8" s="3" t="s">
        <v>86</v>
      </c>
      <c r="B8" s="4" t="s">
        <v>68</v>
      </c>
      <c r="C8" s="5">
        <f t="shared" si="0"/>
        <v>0</v>
      </c>
      <c r="E8" t="str">
        <f t="shared" si="1"/>
        <v>220203</v>
      </c>
      <c r="F8" t="s">
        <v>164</v>
      </c>
      <c r="G8">
        <v>0</v>
      </c>
    </row>
    <row r="9" spans="1:7" x14ac:dyDescent="0.2">
      <c r="A9" s="3" t="s">
        <v>103</v>
      </c>
      <c r="B9" s="4" t="s">
        <v>51</v>
      </c>
      <c r="C9" s="5" t="str">
        <f t="shared" si="0"/>
        <v>-</v>
      </c>
    </row>
    <row r="10" spans="1:7" x14ac:dyDescent="0.2">
      <c r="A10" s="3" t="s">
        <v>84</v>
      </c>
      <c r="B10" s="4" t="s">
        <v>53</v>
      </c>
      <c r="C10" s="5">
        <f t="shared" si="0"/>
        <v>5</v>
      </c>
      <c r="E10" t="str">
        <f t="shared" si="1"/>
        <v>220201</v>
      </c>
      <c r="F10" t="s">
        <v>215</v>
      </c>
      <c r="G10">
        <v>5</v>
      </c>
    </row>
    <row r="11" spans="1:7" x14ac:dyDescent="0.2">
      <c r="A11" s="3" t="s">
        <v>118</v>
      </c>
      <c r="B11" s="4" t="s">
        <v>56</v>
      </c>
      <c r="C11" s="5">
        <f t="shared" si="0"/>
        <v>0</v>
      </c>
      <c r="E11" t="str">
        <f t="shared" si="1"/>
        <v>220702</v>
      </c>
      <c r="F11" t="s">
        <v>165</v>
      </c>
      <c r="G11">
        <v>0</v>
      </c>
    </row>
    <row r="12" spans="1:7" x14ac:dyDescent="0.2">
      <c r="A12" s="3" t="s">
        <v>138</v>
      </c>
      <c r="B12" s="4" t="s">
        <v>15</v>
      </c>
      <c r="C12" s="5">
        <f t="shared" si="0"/>
        <v>0</v>
      </c>
      <c r="E12" t="str">
        <f t="shared" si="1"/>
        <v>220903</v>
      </c>
      <c r="F12" t="s">
        <v>166</v>
      </c>
      <c r="G12">
        <v>0</v>
      </c>
    </row>
    <row r="13" spans="1:7" x14ac:dyDescent="0.2">
      <c r="A13" s="3" t="s">
        <v>79</v>
      </c>
      <c r="B13" s="4" t="s">
        <v>59</v>
      </c>
      <c r="C13" s="5">
        <f t="shared" si="0"/>
        <v>0</v>
      </c>
      <c r="E13" t="str">
        <f t="shared" si="1"/>
        <v>220102</v>
      </c>
      <c r="F13" t="s">
        <v>167</v>
      </c>
      <c r="G13">
        <v>0</v>
      </c>
    </row>
    <row r="14" spans="1:7" x14ac:dyDescent="0.2">
      <c r="A14" s="3" t="s">
        <v>113</v>
      </c>
      <c r="B14" s="4" t="s">
        <v>30</v>
      </c>
      <c r="C14" s="5">
        <f t="shared" si="0"/>
        <v>0</v>
      </c>
      <c r="E14" t="str">
        <f t="shared" si="1"/>
        <v>220602</v>
      </c>
      <c r="F14" t="s">
        <v>168</v>
      </c>
      <c r="G14">
        <v>0</v>
      </c>
    </row>
    <row r="15" spans="1:7" x14ac:dyDescent="0.2">
      <c r="A15" s="3" t="s">
        <v>119</v>
      </c>
      <c r="B15" s="4" t="s">
        <v>4</v>
      </c>
      <c r="C15" s="5" t="str">
        <f t="shared" si="0"/>
        <v>-</v>
      </c>
    </row>
    <row r="16" spans="1:7" x14ac:dyDescent="0.2">
      <c r="A16" s="3" t="s">
        <v>104</v>
      </c>
      <c r="B16" s="4" t="s">
        <v>31</v>
      </c>
      <c r="C16" s="5">
        <f t="shared" si="0"/>
        <v>0</v>
      </c>
      <c r="E16" t="str">
        <f t="shared" si="1"/>
        <v>220504</v>
      </c>
      <c r="F16" t="s">
        <v>169</v>
      </c>
      <c r="G16">
        <v>0</v>
      </c>
    </row>
    <row r="17" spans="1:7" x14ac:dyDescent="0.2">
      <c r="A17" s="3" t="s">
        <v>139</v>
      </c>
      <c r="B17" s="4" t="s">
        <v>73</v>
      </c>
      <c r="C17" s="5">
        <f t="shared" si="0"/>
        <v>0</v>
      </c>
      <c r="E17" t="str">
        <f t="shared" si="1"/>
        <v>220904</v>
      </c>
      <c r="F17" t="s">
        <v>170</v>
      </c>
      <c r="G17">
        <v>0</v>
      </c>
    </row>
    <row r="18" spans="1:7" x14ac:dyDescent="0.2">
      <c r="A18" s="3" t="s">
        <v>140</v>
      </c>
      <c r="B18" s="4" t="s">
        <v>45</v>
      </c>
      <c r="C18" s="5">
        <f t="shared" si="0"/>
        <v>2</v>
      </c>
      <c r="E18" t="str">
        <f t="shared" si="1"/>
        <v>220905</v>
      </c>
      <c r="F18" t="s">
        <v>171</v>
      </c>
      <c r="G18">
        <v>2</v>
      </c>
    </row>
    <row r="19" spans="1:7" x14ac:dyDescent="0.2">
      <c r="A19" s="3" t="s">
        <v>105</v>
      </c>
      <c r="B19" s="4" t="s">
        <v>9</v>
      </c>
      <c r="C19" s="5">
        <f t="shared" si="0"/>
        <v>1</v>
      </c>
      <c r="E19" t="str">
        <f t="shared" si="1"/>
        <v>220505</v>
      </c>
      <c r="F19" t="s">
        <v>172</v>
      </c>
      <c r="G19">
        <v>1</v>
      </c>
    </row>
    <row r="20" spans="1:7" x14ac:dyDescent="0.2">
      <c r="A20" s="3" t="s">
        <v>97</v>
      </c>
      <c r="B20" s="4" t="s">
        <v>2</v>
      </c>
      <c r="C20" s="5">
        <f t="shared" si="0"/>
        <v>0</v>
      </c>
      <c r="E20" t="str">
        <f t="shared" si="1"/>
        <v>220403</v>
      </c>
      <c r="F20" t="s">
        <v>173</v>
      </c>
      <c r="G20">
        <v>0</v>
      </c>
    </row>
    <row r="21" spans="1:7" x14ac:dyDescent="0.2">
      <c r="A21" s="3" t="s">
        <v>141</v>
      </c>
      <c r="B21" s="4" t="s">
        <v>38</v>
      </c>
      <c r="C21" s="5">
        <f t="shared" si="0"/>
        <v>1</v>
      </c>
      <c r="E21" t="str">
        <f t="shared" si="1"/>
        <v>220906</v>
      </c>
      <c r="F21" t="s">
        <v>174</v>
      </c>
      <c r="G21">
        <v>1</v>
      </c>
    </row>
    <row r="22" spans="1:7" x14ac:dyDescent="0.2">
      <c r="A22" s="3" t="s">
        <v>129</v>
      </c>
      <c r="B22" s="4" t="s">
        <v>72</v>
      </c>
      <c r="C22" s="5">
        <f t="shared" si="0"/>
        <v>2</v>
      </c>
      <c r="E22" t="str">
        <f t="shared" si="1"/>
        <v>220803</v>
      </c>
      <c r="F22" t="s">
        <v>175</v>
      </c>
      <c r="G22">
        <v>2</v>
      </c>
    </row>
    <row r="23" spans="1:7" x14ac:dyDescent="0.2">
      <c r="A23" s="3" t="s">
        <v>80</v>
      </c>
      <c r="B23" s="4" t="s">
        <v>21</v>
      </c>
      <c r="C23" s="5">
        <f t="shared" si="0"/>
        <v>0</v>
      </c>
      <c r="E23" t="str">
        <f t="shared" si="1"/>
        <v>220103</v>
      </c>
      <c r="F23" t="s">
        <v>176</v>
      </c>
      <c r="G23">
        <v>0</v>
      </c>
    </row>
    <row r="24" spans="1:7" x14ac:dyDescent="0.2">
      <c r="A24" s="3" t="s">
        <v>87</v>
      </c>
      <c r="B24" s="4" t="s">
        <v>52</v>
      </c>
      <c r="C24" s="5">
        <f t="shared" si="0"/>
        <v>0</v>
      </c>
      <c r="E24" t="str">
        <f t="shared" si="1"/>
        <v>220204</v>
      </c>
      <c r="F24" t="s">
        <v>217</v>
      </c>
      <c r="G24">
        <v>0</v>
      </c>
    </row>
    <row r="25" spans="1:7" x14ac:dyDescent="0.2">
      <c r="A25" s="3" t="s">
        <v>114</v>
      </c>
      <c r="B25" s="4" t="s">
        <v>32</v>
      </c>
      <c r="C25" s="5">
        <f t="shared" si="0"/>
        <v>2</v>
      </c>
      <c r="E25" t="str">
        <f t="shared" si="1"/>
        <v>220603</v>
      </c>
      <c r="F25" t="s">
        <v>177</v>
      </c>
      <c r="G25">
        <v>2</v>
      </c>
    </row>
    <row r="26" spans="1:7" x14ac:dyDescent="0.2">
      <c r="A26" s="3" t="s">
        <v>142</v>
      </c>
      <c r="B26" s="4" t="s">
        <v>70</v>
      </c>
      <c r="C26" s="5" t="str">
        <f t="shared" si="0"/>
        <v>-</v>
      </c>
    </row>
    <row r="27" spans="1:7" x14ac:dyDescent="0.2">
      <c r="A27" s="3" t="s">
        <v>81</v>
      </c>
      <c r="B27" s="4" t="s">
        <v>29</v>
      </c>
      <c r="C27" s="5">
        <f t="shared" si="0"/>
        <v>1</v>
      </c>
      <c r="E27" t="str">
        <f t="shared" si="1"/>
        <v>220104</v>
      </c>
      <c r="F27" t="s">
        <v>178</v>
      </c>
      <c r="G27">
        <v>1</v>
      </c>
    </row>
    <row r="28" spans="1:7" x14ac:dyDescent="0.2">
      <c r="A28" s="3" t="s">
        <v>143</v>
      </c>
      <c r="B28" s="4" t="s">
        <v>40</v>
      </c>
      <c r="C28" s="5">
        <f t="shared" si="0"/>
        <v>0</v>
      </c>
      <c r="E28" t="str">
        <f t="shared" si="1"/>
        <v>220908</v>
      </c>
      <c r="F28" t="s">
        <v>179</v>
      </c>
      <c r="G28">
        <v>0</v>
      </c>
    </row>
    <row r="29" spans="1:7" x14ac:dyDescent="0.2">
      <c r="A29" s="3" t="s">
        <v>112</v>
      </c>
      <c r="B29" s="4" t="s">
        <v>24</v>
      </c>
      <c r="C29" s="5">
        <f t="shared" si="0"/>
        <v>0</v>
      </c>
      <c r="E29" t="str">
        <f t="shared" si="1"/>
        <v>220601</v>
      </c>
      <c r="F29" t="s">
        <v>219</v>
      </c>
      <c r="G29">
        <v>0</v>
      </c>
    </row>
    <row r="30" spans="1:7" x14ac:dyDescent="0.2">
      <c r="A30" s="3" t="s">
        <v>144</v>
      </c>
      <c r="B30" s="4" t="s">
        <v>62</v>
      </c>
      <c r="C30" s="5">
        <f t="shared" si="0"/>
        <v>0</v>
      </c>
      <c r="E30" t="str">
        <f t="shared" si="1"/>
        <v>220909</v>
      </c>
      <c r="F30" t="s">
        <v>180</v>
      </c>
      <c r="G30">
        <v>0</v>
      </c>
    </row>
    <row r="31" spans="1:7" x14ac:dyDescent="0.2">
      <c r="A31" s="3" t="s">
        <v>101</v>
      </c>
      <c r="B31" s="4" t="s">
        <v>48</v>
      </c>
      <c r="C31" s="5">
        <f t="shared" si="0"/>
        <v>2</v>
      </c>
      <c r="E31" t="str">
        <f t="shared" si="1"/>
        <v>220501</v>
      </c>
      <c r="F31" t="s">
        <v>218</v>
      </c>
      <c r="G31">
        <v>2</v>
      </c>
    </row>
    <row r="32" spans="1:7" x14ac:dyDescent="0.2">
      <c r="A32" s="3" t="s">
        <v>145</v>
      </c>
      <c r="B32" s="4" t="s">
        <v>13</v>
      </c>
      <c r="C32" s="5">
        <f t="shared" si="0"/>
        <v>1</v>
      </c>
      <c r="E32" t="str">
        <f t="shared" si="1"/>
        <v>220910</v>
      </c>
      <c r="F32" t="s">
        <v>181</v>
      </c>
      <c r="G32">
        <v>1</v>
      </c>
    </row>
    <row r="33" spans="1:7" x14ac:dyDescent="0.2">
      <c r="A33" s="3" t="s">
        <v>78</v>
      </c>
      <c r="B33" s="4" t="s">
        <v>66</v>
      </c>
      <c r="C33" s="5">
        <f t="shared" si="0"/>
        <v>0</v>
      </c>
      <c r="E33" t="str">
        <f t="shared" si="1"/>
        <v>220101</v>
      </c>
      <c r="F33" t="s">
        <v>220</v>
      </c>
      <c r="G33">
        <v>0</v>
      </c>
    </row>
    <row r="34" spans="1:7" x14ac:dyDescent="0.2">
      <c r="A34" s="3" t="s">
        <v>130</v>
      </c>
      <c r="B34" s="4" t="s">
        <v>11</v>
      </c>
      <c r="C34" s="5">
        <f t="shared" si="0"/>
        <v>1</v>
      </c>
      <c r="E34" t="str">
        <f t="shared" si="1"/>
        <v>220804</v>
      </c>
      <c r="F34" t="s">
        <v>182</v>
      </c>
      <c r="G34">
        <v>1</v>
      </c>
    </row>
    <row r="35" spans="1:7" x14ac:dyDescent="0.2">
      <c r="A35" s="3" t="s">
        <v>151</v>
      </c>
      <c r="B35" s="4" t="s">
        <v>12</v>
      </c>
      <c r="C35" s="5">
        <f t="shared" si="0"/>
        <v>0</v>
      </c>
      <c r="E35" t="str">
        <f t="shared" si="1"/>
        <v>221002</v>
      </c>
      <c r="F35" t="s">
        <v>183</v>
      </c>
      <c r="G35">
        <v>0</v>
      </c>
    </row>
    <row r="36" spans="1:7" x14ac:dyDescent="0.2">
      <c r="A36" s="3" t="s">
        <v>115</v>
      </c>
      <c r="B36" s="4" t="s">
        <v>17</v>
      </c>
      <c r="C36" s="5">
        <f t="shared" si="0"/>
        <v>0</v>
      </c>
      <c r="E36" t="str">
        <f t="shared" si="1"/>
        <v>220604</v>
      </c>
      <c r="F36" t="s">
        <v>184</v>
      </c>
      <c r="G36">
        <v>0</v>
      </c>
    </row>
    <row r="37" spans="1:7" x14ac:dyDescent="0.2">
      <c r="A37" s="3" t="s">
        <v>116</v>
      </c>
      <c r="B37" s="4" t="s">
        <v>23</v>
      </c>
      <c r="C37" s="5">
        <f t="shared" si="0"/>
        <v>0</v>
      </c>
      <c r="E37" t="str">
        <f>+A37</f>
        <v>220605</v>
      </c>
      <c r="F37" t="s">
        <v>185</v>
      </c>
      <c r="G37">
        <v>0</v>
      </c>
    </row>
    <row r="38" spans="1:7" x14ac:dyDescent="0.2">
      <c r="A38" s="3" t="s">
        <v>146</v>
      </c>
      <c r="B38" s="4" t="s">
        <v>3</v>
      </c>
      <c r="C38" s="5">
        <f t="shared" si="0"/>
        <v>0</v>
      </c>
      <c r="E38" t="str">
        <f t="shared" si="1"/>
        <v>220911</v>
      </c>
      <c r="F38" t="s">
        <v>186</v>
      </c>
      <c r="G38">
        <v>0</v>
      </c>
    </row>
    <row r="39" spans="1:7" x14ac:dyDescent="0.2">
      <c r="A39" s="3" t="s">
        <v>131</v>
      </c>
      <c r="B39" s="4" t="s">
        <v>20</v>
      </c>
      <c r="C39" s="5">
        <f t="shared" si="0"/>
        <v>0</v>
      </c>
      <c r="E39" t="str">
        <f t="shared" si="1"/>
        <v>220805</v>
      </c>
      <c r="F39" t="s">
        <v>187</v>
      </c>
      <c r="G39">
        <v>0</v>
      </c>
    </row>
    <row r="40" spans="1:7" x14ac:dyDescent="0.2">
      <c r="A40" s="3" t="s">
        <v>117</v>
      </c>
      <c r="B40" s="4" t="s">
        <v>39</v>
      </c>
      <c r="C40" s="5">
        <f t="shared" si="0"/>
        <v>1</v>
      </c>
      <c r="E40" t="str">
        <f t="shared" si="1"/>
        <v>220701</v>
      </c>
      <c r="F40" t="s">
        <v>221</v>
      </c>
      <c r="G40">
        <v>1</v>
      </c>
    </row>
    <row r="41" spans="1:7" x14ac:dyDescent="0.2">
      <c r="A41" s="3" t="s">
        <v>120</v>
      </c>
      <c r="B41" s="4" t="s">
        <v>44</v>
      </c>
      <c r="C41" s="5">
        <f t="shared" si="0"/>
        <v>0</v>
      </c>
      <c r="E41" t="str">
        <f t="shared" si="1"/>
        <v>220704</v>
      </c>
      <c r="F41" t="s">
        <v>188</v>
      </c>
      <c r="G41">
        <v>0</v>
      </c>
    </row>
    <row r="42" spans="1:7" x14ac:dyDescent="0.2">
      <c r="A42" s="3" t="s">
        <v>106</v>
      </c>
      <c r="B42" s="4" t="s">
        <v>41</v>
      </c>
      <c r="C42" s="5">
        <f t="shared" si="0"/>
        <v>1</v>
      </c>
      <c r="E42" t="str">
        <f t="shared" si="1"/>
        <v>220506</v>
      </c>
      <c r="F42" t="s">
        <v>189</v>
      </c>
      <c r="G42">
        <v>1</v>
      </c>
    </row>
    <row r="43" spans="1:7" x14ac:dyDescent="0.2">
      <c r="A43" s="3" t="s">
        <v>98</v>
      </c>
      <c r="B43" s="4" t="s">
        <v>61</v>
      </c>
      <c r="C43" s="5">
        <f t="shared" si="0"/>
        <v>1</v>
      </c>
      <c r="E43" t="str">
        <f t="shared" si="1"/>
        <v>220404</v>
      </c>
      <c r="F43" t="s">
        <v>190</v>
      </c>
      <c r="G43">
        <v>1</v>
      </c>
    </row>
    <row r="44" spans="1:7" x14ac:dyDescent="0.2">
      <c r="A44" s="3" t="s">
        <v>152</v>
      </c>
      <c r="B44" s="4" t="s">
        <v>57</v>
      </c>
      <c r="C44" s="5">
        <f t="shared" si="0"/>
        <v>0</v>
      </c>
      <c r="E44" t="str">
        <f t="shared" si="1"/>
        <v>221003</v>
      </c>
      <c r="F44" t="s">
        <v>191</v>
      </c>
      <c r="G44">
        <v>0</v>
      </c>
    </row>
    <row r="45" spans="1:7" x14ac:dyDescent="0.2">
      <c r="A45" s="3" t="s">
        <v>132</v>
      </c>
      <c r="B45" s="4" t="s">
        <v>28</v>
      </c>
      <c r="C45" s="5" t="str">
        <f t="shared" si="0"/>
        <v>-</v>
      </c>
    </row>
    <row r="46" spans="1:7" x14ac:dyDescent="0.2">
      <c r="A46" s="3" t="s">
        <v>121</v>
      </c>
      <c r="B46" s="4" t="s">
        <v>37</v>
      </c>
      <c r="C46" s="5">
        <f t="shared" si="0"/>
        <v>0</v>
      </c>
      <c r="E46" t="str">
        <f t="shared" si="1"/>
        <v>220705</v>
      </c>
      <c r="F46" t="s">
        <v>192</v>
      </c>
      <c r="G46">
        <v>0</v>
      </c>
    </row>
    <row r="47" spans="1:7" x14ac:dyDescent="0.2">
      <c r="A47" s="3" t="s">
        <v>127</v>
      </c>
      <c r="B47" s="4" t="s">
        <v>46</v>
      </c>
      <c r="C47" s="5">
        <f t="shared" si="0"/>
        <v>1</v>
      </c>
      <c r="E47" t="str">
        <f t="shared" si="1"/>
        <v>220801</v>
      </c>
      <c r="F47" t="s">
        <v>222</v>
      </c>
      <c r="G47">
        <v>1</v>
      </c>
    </row>
    <row r="48" spans="1:7" x14ac:dyDescent="0.2">
      <c r="A48" s="3" t="s">
        <v>107</v>
      </c>
      <c r="B48" s="4" t="s">
        <v>5</v>
      </c>
      <c r="C48" s="5" t="str">
        <f t="shared" si="0"/>
        <v>-</v>
      </c>
    </row>
    <row r="49" spans="1:7" x14ac:dyDescent="0.2">
      <c r="A49" s="3" t="s">
        <v>99</v>
      </c>
      <c r="B49" s="4" t="s">
        <v>63</v>
      </c>
      <c r="C49" s="5">
        <f t="shared" si="0"/>
        <v>1</v>
      </c>
      <c r="E49" t="str">
        <f t="shared" si="1"/>
        <v>220405</v>
      </c>
      <c r="F49" t="s">
        <v>193</v>
      </c>
      <c r="G49">
        <v>1</v>
      </c>
    </row>
    <row r="50" spans="1:7" x14ac:dyDescent="0.2">
      <c r="A50" s="3" t="s">
        <v>147</v>
      </c>
      <c r="B50" s="4" t="s">
        <v>26</v>
      </c>
      <c r="C50" s="5" t="str">
        <f t="shared" si="0"/>
        <v>-</v>
      </c>
    </row>
    <row r="51" spans="1:7" x14ac:dyDescent="0.2">
      <c r="A51" s="3" t="s">
        <v>122</v>
      </c>
      <c r="B51" s="4" t="s">
        <v>47</v>
      </c>
      <c r="C51" s="5">
        <f t="shared" si="0"/>
        <v>0</v>
      </c>
      <c r="E51" t="str">
        <f t="shared" si="1"/>
        <v>220706</v>
      </c>
      <c r="F51" t="s">
        <v>194</v>
      </c>
      <c r="G51">
        <v>0</v>
      </c>
    </row>
    <row r="52" spans="1:7" x14ac:dyDescent="0.2">
      <c r="A52" s="3" t="s">
        <v>133</v>
      </c>
      <c r="B52" s="4" t="s">
        <v>6</v>
      </c>
      <c r="C52" s="5">
        <f t="shared" si="0"/>
        <v>0</v>
      </c>
      <c r="E52" t="str">
        <f t="shared" si="1"/>
        <v>220807</v>
      </c>
      <c r="F52" t="s">
        <v>214</v>
      </c>
      <c r="G52">
        <v>0</v>
      </c>
    </row>
    <row r="53" spans="1:7" x14ac:dyDescent="0.2">
      <c r="A53" s="3" t="s">
        <v>123</v>
      </c>
      <c r="B53" s="4" t="s">
        <v>64</v>
      </c>
      <c r="C53" s="5" t="str">
        <f t="shared" si="0"/>
        <v>-</v>
      </c>
    </row>
    <row r="54" spans="1:7" x14ac:dyDescent="0.2">
      <c r="A54" s="3" t="s">
        <v>90</v>
      </c>
      <c r="B54" s="4" t="s">
        <v>36</v>
      </c>
      <c r="C54" s="5">
        <f t="shared" si="0"/>
        <v>1</v>
      </c>
      <c r="E54" t="str">
        <f t="shared" si="1"/>
        <v>220301</v>
      </c>
      <c r="F54" t="s">
        <v>216</v>
      </c>
      <c r="G54">
        <v>1</v>
      </c>
    </row>
    <row r="55" spans="1:7" x14ac:dyDescent="0.2">
      <c r="A55" s="3" t="s">
        <v>92</v>
      </c>
      <c r="B55" s="4" t="s">
        <v>22</v>
      </c>
      <c r="C55" s="5">
        <f t="shared" si="0"/>
        <v>0</v>
      </c>
      <c r="E55" t="str">
        <f t="shared" si="1"/>
        <v>220303</v>
      </c>
      <c r="F55" t="s">
        <v>195</v>
      </c>
      <c r="G55">
        <v>0</v>
      </c>
    </row>
    <row r="56" spans="1:7" x14ac:dyDescent="0.2">
      <c r="A56" s="3" t="s">
        <v>88</v>
      </c>
      <c r="B56" s="4" t="s">
        <v>7</v>
      </c>
      <c r="C56" s="5">
        <f t="shared" si="0"/>
        <v>0</v>
      </c>
      <c r="E56" t="str">
        <f t="shared" si="1"/>
        <v>220205</v>
      </c>
      <c r="F56" t="s">
        <v>196</v>
      </c>
      <c r="G56">
        <v>0</v>
      </c>
    </row>
    <row r="57" spans="1:7" x14ac:dyDescent="0.2">
      <c r="A57" s="3" t="s">
        <v>89</v>
      </c>
      <c r="B57" s="4" t="s">
        <v>67</v>
      </c>
      <c r="C57" s="5">
        <f t="shared" si="0"/>
        <v>0</v>
      </c>
      <c r="E57" t="str">
        <f t="shared" si="1"/>
        <v>220206</v>
      </c>
      <c r="F57" t="s">
        <v>197</v>
      </c>
      <c r="G57">
        <v>0</v>
      </c>
    </row>
    <row r="58" spans="1:7" x14ac:dyDescent="0.2">
      <c r="A58" s="3" t="s">
        <v>108</v>
      </c>
      <c r="B58" s="4" t="s">
        <v>71</v>
      </c>
      <c r="C58" s="5">
        <f t="shared" si="0"/>
        <v>1</v>
      </c>
      <c r="E58" t="str">
        <f t="shared" si="1"/>
        <v>220508</v>
      </c>
      <c r="F58" t="s">
        <v>198</v>
      </c>
      <c r="G58">
        <v>1</v>
      </c>
    </row>
    <row r="59" spans="1:7" x14ac:dyDescent="0.2">
      <c r="A59" s="3" t="s">
        <v>155</v>
      </c>
      <c r="B59" s="4" t="s">
        <v>77</v>
      </c>
      <c r="C59" s="5">
        <f t="shared" si="0"/>
        <v>2</v>
      </c>
      <c r="E59" t="str">
        <f t="shared" si="1"/>
        <v>221006</v>
      </c>
      <c r="F59" t="s">
        <v>199</v>
      </c>
      <c r="G59">
        <v>2</v>
      </c>
    </row>
    <row r="60" spans="1:7" x14ac:dyDescent="0.2">
      <c r="A60" s="3" t="s">
        <v>93</v>
      </c>
      <c r="B60" s="4" t="s">
        <v>54</v>
      </c>
      <c r="C60" s="5">
        <f t="shared" si="0"/>
        <v>1</v>
      </c>
      <c r="E60" t="str">
        <f t="shared" si="1"/>
        <v>220304</v>
      </c>
      <c r="F60" t="s">
        <v>200</v>
      </c>
      <c r="G60">
        <v>1</v>
      </c>
    </row>
    <row r="61" spans="1:7" x14ac:dyDescent="0.2">
      <c r="A61" s="3" t="s">
        <v>95</v>
      </c>
      <c r="B61" s="4" t="s">
        <v>50</v>
      </c>
      <c r="C61" s="5" t="str">
        <f t="shared" si="0"/>
        <v>-</v>
      </c>
    </row>
    <row r="62" spans="1:7" x14ac:dyDescent="0.2">
      <c r="A62" s="3" t="s">
        <v>148</v>
      </c>
      <c r="B62" s="4" t="s">
        <v>43</v>
      </c>
      <c r="C62" s="5" t="str">
        <f t="shared" si="0"/>
        <v>-</v>
      </c>
    </row>
    <row r="63" spans="1:7" x14ac:dyDescent="0.2">
      <c r="A63" s="3" t="s">
        <v>124</v>
      </c>
      <c r="B63" s="4" t="s">
        <v>10</v>
      </c>
      <c r="C63" s="5">
        <f t="shared" si="0"/>
        <v>3</v>
      </c>
      <c r="E63" t="str">
        <f t="shared" si="1"/>
        <v>220708</v>
      </c>
      <c r="F63" t="s">
        <v>201</v>
      </c>
      <c r="G63">
        <v>3</v>
      </c>
    </row>
    <row r="64" spans="1:7" x14ac:dyDescent="0.2">
      <c r="A64" s="3" t="s">
        <v>109</v>
      </c>
      <c r="B64" s="4" t="s">
        <v>18</v>
      </c>
      <c r="C64" s="5">
        <f t="shared" si="0"/>
        <v>1</v>
      </c>
      <c r="E64" t="str">
        <f t="shared" si="1"/>
        <v>220509</v>
      </c>
      <c r="F64" t="s">
        <v>202</v>
      </c>
      <c r="G64">
        <v>1</v>
      </c>
    </row>
    <row r="65" spans="1:7" x14ac:dyDescent="0.2">
      <c r="A65" s="3" t="s">
        <v>149</v>
      </c>
      <c r="B65" s="4" t="s">
        <v>25</v>
      </c>
      <c r="C65" s="5">
        <f t="shared" si="0"/>
        <v>0</v>
      </c>
      <c r="E65" t="str">
        <f t="shared" si="1"/>
        <v>220914</v>
      </c>
      <c r="F65" t="s">
        <v>203</v>
      </c>
      <c r="G65">
        <v>0</v>
      </c>
    </row>
    <row r="66" spans="1:7" x14ac:dyDescent="0.2">
      <c r="A66" s="3" t="s">
        <v>94</v>
      </c>
      <c r="B66" s="4" t="s">
        <v>14</v>
      </c>
      <c r="C66" s="5">
        <f t="shared" si="0"/>
        <v>0</v>
      </c>
      <c r="E66" t="str">
        <f t="shared" si="1"/>
        <v>220305</v>
      </c>
      <c r="F66" t="s">
        <v>204</v>
      </c>
      <c r="G66">
        <v>0</v>
      </c>
    </row>
    <row r="67" spans="1:7" x14ac:dyDescent="0.2">
      <c r="A67" s="3" t="s">
        <v>153</v>
      </c>
      <c r="B67" s="4" t="s">
        <v>1</v>
      </c>
      <c r="C67" s="5">
        <f t="shared" ref="C67:C79" si="2">+IFERROR(VLOOKUP(A67,E67:G143,3,FALSE),"-")</f>
        <v>0</v>
      </c>
      <c r="E67" t="str">
        <f t="shared" ref="E67:E79" si="3">+A67</f>
        <v>221004</v>
      </c>
      <c r="F67" t="s">
        <v>205</v>
      </c>
      <c r="G67">
        <v>0</v>
      </c>
    </row>
    <row r="68" spans="1:7" x14ac:dyDescent="0.2">
      <c r="A68" s="3" t="s">
        <v>82</v>
      </c>
      <c r="B68" s="4" t="s">
        <v>35</v>
      </c>
      <c r="C68" s="5">
        <f t="shared" si="2"/>
        <v>1</v>
      </c>
      <c r="E68" t="str">
        <f t="shared" si="3"/>
        <v>220105</v>
      </c>
      <c r="F68" t="s">
        <v>206</v>
      </c>
      <c r="G68">
        <v>1</v>
      </c>
    </row>
    <row r="69" spans="1:7" x14ac:dyDescent="0.2">
      <c r="A69" s="3" t="s">
        <v>110</v>
      </c>
      <c r="B69" s="4" t="s">
        <v>69</v>
      </c>
      <c r="C69" s="5">
        <f t="shared" si="2"/>
        <v>0</v>
      </c>
      <c r="E69" t="str">
        <f t="shared" si="3"/>
        <v>220510</v>
      </c>
      <c r="F69" t="s">
        <v>207</v>
      </c>
      <c r="G69">
        <v>0</v>
      </c>
    </row>
    <row r="70" spans="1:7" x14ac:dyDescent="0.2">
      <c r="A70" s="3" t="s">
        <v>136</v>
      </c>
      <c r="B70" s="4" t="s">
        <v>60</v>
      </c>
      <c r="C70" s="5">
        <f t="shared" si="2"/>
        <v>0</v>
      </c>
      <c r="E70" t="str">
        <f t="shared" si="3"/>
        <v>220901</v>
      </c>
      <c r="F70" t="s">
        <v>223</v>
      </c>
      <c r="G70">
        <v>0</v>
      </c>
    </row>
    <row r="71" spans="1:7" x14ac:dyDescent="0.2">
      <c r="A71" s="3" t="s">
        <v>125</v>
      </c>
      <c r="B71" s="4" t="s">
        <v>0</v>
      </c>
      <c r="C71" s="5">
        <f t="shared" si="2"/>
        <v>1</v>
      </c>
      <c r="E71" t="str">
        <f t="shared" si="3"/>
        <v>220709</v>
      </c>
      <c r="F71" t="s">
        <v>208</v>
      </c>
      <c r="G71">
        <v>1</v>
      </c>
    </row>
    <row r="72" spans="1:7" x14ac:dyDescent="0.2">
      <c r="A72" s="3" t="s">
        <v>100</v>
      </c>
      <c r="B72" s="4" t="s">
        <v>19</v>
      </c>
      <c r="C72" s="5" t="str">
        <f t="shared" si="2"/>
        <v>-</v>
      </c>
    </row>
    <row r="73" spans="1:7" x14ac:dyDescent="0.2">
      <c r="A73" s="3" t="s">
        <v>150</v>
      </c>
      <c r="B73" s="4" t="s">
        <v>75</v>
      </c>
      <c r="C73" s="5">
        <f t="shared" si="2"/>
        <v>0</v>
      </c>
      <c r="E73" t="str">
        <f t="shared" si="3"/>
        <v>221001</v>
      </c>
      <c r="F73" t="s">
        <v>224</v>
      </c>
      <c r="G73">
        <v>0</v>
      </c>
    </row>
    <row r="74" spans="1:7" x14ac:dyDescent="0.2">
      <c r="A74" s="3" t="s">
        <v>126</v>
      </c>
      <c r="B74" s="4" t="s">
        <v>16</v>
      </c>
      <c r="C74" s="5">
        <f t="shared" si="2"/>
        <v>0</v>
      </c>
      <c r="E74" t="str">
        <f t="shared" si="3"/>
        <v>220710</v>
      </c>
      <c r="F74" t="s">
        <v>209</v>
      </c>
      <c r="G74">
        <v>0</v>
      </c>
    </row>
    <row r="75" spans="1:7" x14ac:dyDescent="0.2">
      <c r="A75" s="3" t="s">
        <v>154</v>
      </c>
      <c r="B75" s="4" t="s">
        <v>76</v>
      </c>
      <c r="C75" s="5">
        <f t="shared" si="2"/>
        <v>2</v>
      </c>
      <c r="E75" t="str">
        <f t="shared" si="3"/>
        <v>221005</v>
      </c>
      <c r="F75" t="s">
        <v>210</v>
      </c>
      <c r="G75">
        <v>2</v>
      </c>
    </row>
    <row r="76" spans="1:7" x14ac:dyDescent="0.2">
      <c r="A76" s="3" t="s">
        <v>83</v>
      </c>
      <c r="B76" s="4" t="s">
        <v>33</v>
      </c>
      <c r="C76" s="5">
        <f t="shared" si="2"/>
        <v>3</v>
      </c>
      <c r="E76" t="str">
        <f t="shared" si="3"/>
        <v>220106</v>
      </c>
      <c r="F76" t="s">
        <v>211</v>
      </c>
      <c r="G76">
        <v>3</v>
      </c>
    </row>
    <row r="77" spans="1:7" x14ac:dyDescent="0.2">
      <c r="A77" s="3" t="s">
        <v>134</v>
      </c>
      <c r="B77" s="4" t="s">
        <v>8</v>
      </c>
      <c r="C77" s="5">
        <f t="shared" si="2"/>
        <v>0</v>
      </c>
      <c r="E77" t="str">
        <f t="shared" si="3"/>
        <v>220808</v>
      </c>
      <c r="F77" t="s">
        <v>212</v>
      </c>
      <c r="G77">
        <v>0</v>
      </c>
    </row>
    <row r="78" spans="1:7" x14ac:dyDescent="0.2">
      <c r="A78" s="3" t="s">
        <v>135</v>
      </c>
      <c r="B78" s="4" t="s">
        <v>42</v>
      </c>
      <c r="C78" s="5">
        <f t="shared" si="2"/>
        <v>0</v>
      </c>
      <c r="E78" t="str">
        <f t="shared" si="3"/>
        <v>220809</v>
      </c>
      <c r="F78" t="s">
        <v>213</v>
      </c>
      <c r="G78">
        <v>0</v>
      </c>
    </row>
    <row r="79" spans="1:7" x14ac:dyDescent="0.2">
      <c r="A79" s="3" t="s">
        <v>111</v>
      </c>
      <c r="B79" s="4" t="s">
        <v>58</v>
      </c>
      <c r="C79" s="5" t="str">
        <f t="shared" si="2"/>
        <v>-</v>
      </c>
    </row>
  </sheetData>
  <sortState ref="A2:C79">
    <sortCondition ref="B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workbookViewId="0">
      <selection sqref="A1:B78"/>
    </sheetView>
  </sheetViews>
  <sheetFormatPr baseColWidth="10" defaultRowHeight="12.75" x14ac:dyDescent="0.2"/>
  <sheetData>
    <row r="1" spans="1:2" x14ac:dyDescent="0.2">
      <c r="A1" t="s">
        <v>78</v>
      </c>
      <c r="B1">
        <v>89.521130607696179</v>
      </c>
    </row>
    <row r="2" spans="1:2" x14ac:dyDescent="0.2">
      <c r="A2" t="s">
        <v>79</v>
      </c>
      <c r="B2">
        <v>123.90209508460919</v>
      </c>
    </row>
    <row r="3" spans="1:2" x14ac:dyDescent="0.2">
      <c r="A3" t="s">
        <v>80</v>
      </c>
      <c r="B3">
        <v>238.05137614678898</v>
      </c>
    </row>
    <row r="4" spans="1:2" x14ac:dyDescent="0.2">
      <c r="A4" t="s">
        <v>81</v>
      </c>
      <c r="B4">
        <v>36.87576801026264</v>
      </c>
    </row>
    <row r="5" spans="1:2" x14ac:dyDescent="0.2">
      <c r="A5" t="s">
        <v>82</v>
      </c>
      <c r="B5">
        <v>80.390850544081729</v>
      </c>
    </row>
    <row r="6" spans="1:2" x14ac:dyDescent="0.2">
      <c r="A6" t="s">
        <v>83</v>
      </c>
      <c r="B6">
        <v>41.286389733198241</v>
      </c>
    </row>
    <row r="7" spans="1:2" x14ac:dyDescent="0.2">
      <c r="A7" t="s">
        <v>84</v>
      </c>
      <c r="B7">
        <v>46.470776301328804</v>
      </c>
    </row>
    <row r="8" spans="1:2" x14ac:dyDescent="0.2">
      <c r="A8" t="s">
        <v>85</v>
      </c>
      <c r="B8">
        <v>13.738491403216861</v>
      </c>
    </row>
    <row r="9" spans="1:2" x14ac:dyDescent="0.2">
      <c r="A9" t="s">
        <v>86</v>
      </c>
      <c r="B9">
        <v>191.01904406273337</v>
      </c>
    </row>
    <row r="10" spans="1:2" x14ac:dyDescent="0.2">
      <c r="A10" t="s">
        <v>87</v>
      </c>
      <c r="B10">
        <v>30.815982404692082</v>
      </c>
    </row>
    <row r="11" spans="1:2" x14ac:dyDescent="0.2">
      <c r="A11" t="s">
        <v>88</v>
      </c>
      <c r="B11">
        <v>22.014659685863876</v>
      </c>
    </row>
    <row r="12" spans="1:2" x14ac:dyDescent="0.2">
      <c r="A12" t="s">
        <v>89</v>
      </c>
      <c r="B12">
        <v>82.636053894997673</v>
      </c>
    </row>
    <row r="13" spans="1:2" x14ac:dyDescent="0.2">
      <c r="A13" t="s">
        <v>90</v>
      </c>
      <c r="B13">
        <v>35.259553703602172</v>
      </c>
    </row>
    <row r="14" spans="1:2" x14ac:dyDescent="0.2">
      <c r="A14" t="s">
        <v>91</v>
      </c>
      <c r="B14">
        <v>36.752799310938848</v>
      </c>
    </row>
    <row r="15" spans="1:2" x14ac:dyDescent="0.2">
      <c r="A15" t="s">
        <v>92</v>
      </c>
      <c r="B15">
        <v>22.466861802216183</v>
      </c>
    </row>
    <row r="16" spans="1:2" x14ac:dyDescent="0.2">
      <c r="A16" t="s">
        <v>93</v>
      </c>
      <c r="B16">
        <v>5.4151624548736459</v>
      </c>
    </row>
    <row r="17" spans="1:2" x14ac:dyDescent="0.2">
      <c r="A17" t="s">
        <v>94</v>
      </c>
      <c r="B17">
        <v>38.472270869819027</v>
      </c>
    </row>
    <row r="18" spans="1:2" x14ac:dyDescent="0.2">
      <c r="A18" t="s">
        <v>95</v>
      </c>
      <c r="B18">
        <v>42.70045087953261</v>
      </c>
    </row>
    <row r="19" spans="1:2" x14ac:dyDescent="0.2">
      <c r="A19" t="s">
        <v>96</v>
      </c>
      <c r="B19">
        <v>19.856895738323637</v>
      </c>
    </row>
    <row r="20" spans="1:2" x14ac:dyDescent="0.2">
      <c r="A20" t="s">
        <v>97</v>
      </c>
      <c r="B20">
        <v>68.798224852071002</v>
      </c>
    </row>
    <row r="21" spans="1:2" x14ac:dyDescent="0.2">
      <c r="A21" t="s">
        <v>98</v>
      </c>
      <c r="B21">
        <v>38.397887323943664</v>
      </c>
    </row>
    <row r="22" spans="1:2" x14ac:dyDescent="0.2">
      <c r="A22" t="s">
        <v>99</v>
      </c>
      <c r="B22">
        <v>80.533824206166585</v>
      </c>
    </row>
    <row r="23" spans="1:2" x14ac:dyDescent="0.2">
      <c r="A23" t="s">
        <v>100</v>
      </c>
      <c r="B23">
        <v>141.25295508274232</v>
      </c>
    </row>
    <row r="24" spans="1:2" x14ac:dyDescent="0.2">
      <c r="A24" t="s">
        <v>101</v>
      </c>
      <c r="B24">
        <v>90.58205335489086</v>
      </c>
    </row>
    <row r="25" spans="1:2" x14ac:dyDescent="0.2">
      <c r="A25" t="s">
        <v>102</v>
      </c>
      <c r="B25">
        <v>38.029973905070882</v>
      </c>
    </row>
    <row r="26" spans="1:2" x14ac:dyDescent="0.2">
      <c r="A26" t="s">
        <v>103</v>
      </c>
      <c r="B26">
        <v>14.121980676328503</v>
      </c>
    </row>
    <row r="27" spans="1:2" x14ac:dyDescent="0.2">
      <c r="A27" t="s">
        <v>104</v>
      </c>
      <c r="B27">
        <v>11.26056814338857</v>
      </c>
    </row>
    <row r="28" spans="1:2" x14ac:dyDescent="0.2">
      <c r="A28" t="s">
        <v>105</v>
      </c>
      <c r="B28">
        <v>28.860294117647058</v>
      </c>
    </row>
    <row r="29" spans="1:2" x14ac:dyDescent="0.2">
      <c r="A29" t="s">
        <v>106</v>
      </c>
      <c r="B29">
        <v>16.901766625407898</v>
      </c>
    </row>
    <row r="30" spans="1:2" x14ac:dyDescent="0.2">
      <c r="A30" t="s">
        <v>107</v>
      </c>
      <c r="B30">
        <v>34.607938044530492</v>
      </c>
    </row>
    <row r="31" spans="1:2" x14ac:dyDescent="0.2">
      <c r="A31" t="s">
        <v>108</v>
      </c>
      <c r="B31">
        <v>45.27621195039459</v>
      </c>
    </row>
    <row r="32" spans="1:2" x14ac:dyDescent="0.2">
      <c r="A32" t="s">
        <v>109</v>
      </c>
      <c r="B32">
        <v>42.953431372549019</v>
      </c>
    </row>
    <row r="33" spans="1:2" x14ac:dyDescent="0.2">
      <c r="A33" t="s">
        <v>110</v>
      </c>
      <c r="B33">
        <v>37.561975275996559</v>
      </c>
    </row>
    <row r="34" spans="1:2" x14ac:dyDescent="0.2">
      <c r="A34" t="s">
        <v>111</v>
      </c>
      <c r="B34">
        <v>50.149523496549456</v>
      </c>
    </row>
    <row r="35" spans="1:2" x14ac:dyDescent="0.2">
      <c r="A35" t="s">
        <v>112</v>
      </c>
      <c r="B35">
        <v>135.18544094767586</v>
      </c>
    </row>
    <row r="36" spans="1:2" x14ac:dyDescent="0.2">
      <c r="A36" t="s">
        <v>113</v>
      </c>
      <c r="B36">
        <v>9.9875866591718196</v>
      </c>
    </row>
    <row r="37" spans="1:2" x14ac:dyDescent="0.2">
      <c r="A37" t="s">
        <v>114</v>
      </c>
      <c r="B37">
        <v>12.58858634837747</v>
      </c>
    </row>
    <row r="38" spans="1:2" x14ac:dyDescent="0.2">
      <c r="A38" t="s">
        <v>115</v>
      </c>
      <c r="B38">
        <v>17.342462214184213</v>
      </c>
    </row>
    <row r="39" spans="1:2" x14ac:dyDescent="0.2">
      <c r="A39" t="s">
        <v>116</v>
      </c>
      <c r="B39">
        <v>6.8616724166255958</v>
      </c>
    </row>
    <row r="40" spans="1:2" x14ac:dyDescent="0.2">
      <c r="A40" t="s">
        <v>117</v>
      </c>
      <c r="B40">
        <v>123.50892928645791</v>
      </c>
    </row>
    <row r="41" spans="1:2" x14ac:dyDescent="0.2">
      <c r="A41" t="s">
        <v>118</v>
      </c>
      <c r="B41">
        <v>44.838957567657872</v>
      </c>
    </row>
    <row r="42" spans="1:2" x14ac:dyDescent="0.2">
      <c r="A42" t="s">
        <v>119</v>
      </c>
      <c r="B42">
        <v>6.7879325643300801</v>
      </c>
    </row>
    <row r="43" spans="1:2" x14ac:dyDescent="0.2">
      <c r="A43" t="s">
        <v>120</v>
      </c>
      <c r="B43">
        <v>39.462514417531722</v>
      </c>
    </row>
    <row r="44" spans="1:2" x14ac:dyDescent="0.2">
      <c r="A44" t="s">
        <v>121</v>
      </c>
      <c r="B44">
        <v>66.905943827563689</v>
      </c>
    </row>
    <row r="45" spans="1:2" x14ac:dyDescent="0.2">
      <c r="A45" t="s">
        <v>122</v>
      </c>
      <c r="B45">
        <v>19.028716216216218</v>
      </c>
    </row>
    <row r="46" spans="1:2" x14ac:dyDescent="0.2">
      <c r="A46" t="s">
        <v>123</v>
      </c>
      <c r="B46">
        <v>116.15475854278452</v>
      </c>
    </row>
    <row r="47" spans="1:2" x14ac:dyDescent="0.2">
      <c r="A47" t="s">
        <v>124</v>
      </c>
      <c r="B47">
        <v>13.407020294399443</v>
      </c>
    </row>
    <row r="48" spans="1:2" x14ac:dyDescent="0.2">
      <c r="A48" t="s">
        <v>125</v>
      </c>
      <c r="B48">
        <v>15.538583091914669</v>
      </c>
    </row>
    <row r="49" spans="1:2" x14ac:dyDescent="0.2">
      <c r="A49" t="s">
        <v>126</v>
      </c>
      <c r="B49">
        <v>36.867008296730113</v>
      </c>
    </row>
    <row r="50" spans="1:2" x14ac:dyDescent="0.2">
      <c r="A50" t="s">
        <v>127</v>
      </c>
      <c r="B50">
        <v>80.804987027961943</v>
      </c>
    </row>
    <row r="51" spans="1:2" x14ac:dyDescent="0.2">
      <c r="A51" t="s">
        <v>128</v>
      </c>
      <c r="B51">
        <v>31.591298943443132</v>
      </c>
    </row>
    <row r="52" spans="1:2" x14ac:dyDescent="0.2">
      <c r="A52" t="s">
        <v>129</v>
      </c>
      <c r="B52">
        <v>101.62242758406461</v>
      </c>
    </row>
    <row r="53" spans="1:2" x14ac:dyDescent="0.2">
      <c r="A53" t="s">
        <v>130</v>
      </c>
      <c r="B53">
        <v>130.77506688495788</v>
      </c>
    </row>
    <row r="54" spans="1:2" x14ac:dyDescent="0.2">
      <c r="A54" t="s">
        <v>131</v>
      </c>
      <c r="B54">
        <v>142.89820923656927</v>
      </c>
    </row>
    <row r="55" spans="1:2" x14ac:dyDescent="0.2">
      <c r="A55" t="s">
        <v>132</v>
      </c>
      <c r="B55">
        <v>87.897480451781064</v>
      </c>
    </row>
    <row r="56" spans="1:2" x14ac:dyDescent="0.2">
      <c r="A56" t="s">
        <v>133</v>
      </c>
      <c r="B56">
        <v>30.3951367781155</v>
      </c>
    </row>
    <row r="57" spans="1:2" x14ac:dyDescent="0.2">
      <c r="A57" t="s">
        <v>134</v>
      </c>
      <c r="B57">
        <v>114.17583781547373</v>
      </c>
    </row>
    <row r="58" spans="1:2" x14ac:dyDescent="0.2">
      <c r="A58" t="s">
        <v>135</v>
      </c>
      <c r="B58">
        <v>99.538694574497384</v>
      </c>
    </row>
    <row r="59" spans="1:2" x14ac:dyDescent="0.2">
      <c r="A59" t="s">
        <v>136</v>
      </c>
      <c r="B59">
        <v>135.59883774242354</v>
      </c>
    </row>
    <row r="60" spans="1:2" x14ac:dyDescent="0.2">
      <c r="A60" t="s">
        <v>137</v>
      </c>
      <c r="B60">
        <v>468.79661016949154</v>
      </c>
    </row>
    <row r="61" spans="1:2" x14ac:dyDescent="0.2">
      <c r="A61" t="s">
        <v>138</v>
      </c>
      <c r="B61">
        <v>73.097961213326698</v>
      </c>
    </row>
    <row r="62" spans="1:2" x14ac:dyDescent="0.2">
      <c r="A62" t="s">
        <v>139</v>
      </c>
      <c r="B62">
        <v>16.626865671641792</v>
      </c>
    </row>
    <row r="63" spans="1:2" x14ac:dyDescent="0.2">
      <c r="A63" t="s">
        <v>140</v>
      </c>
      <c r="B63">
        <v>3.2972762645914395</v>
      </c>
    </row>
    <row r="64" spans="1:2" x14ac:dyDescent="0.2">
      <c r="A64" t="s">
        <v>141</v>
      </c>
      <c r="B64">
        <v>77.810530218761585</v>
      </c>
    </row>
    <row r="65" spans="1:2" x14ac:dyDescent="0.2">
      <c r="A65" t="s">
        <v>142</v>
      </c>
      <c r="B65">
        <v>9.2944764486614702</v>
      </c>
    </row>
    <row r="66" spans="1:2" x14ac:dyDescent="0.2">
      <c r="A66" t="s">
        <v>143</v>
      </c>
      <c r="B66">
        <v>179.99096657633243</v>
      </c>
    </row>
    <row r="67" spans="1:2" x14ac:dyDescent="0.2">
      <c r="A67" t="s">
        <v>144</v>
      </c>
      <c r="B67">
        <v>48.58918456770332</v>
      </c>
    </row>
    <row r="68" spans="1:2" x14ac:dyDescent="0.2">
      <c r="A68" t="s">
        <v>145</v>
      </c>
      <c r="B68">
        <v>57.351680613528792</v>
      </c>
    </row>
    <row r="69" spans="1:2" x14ac:dyDescent="0.2">
      <c r="A69" t="s">
        <v>146</v>
      </c>
      <c r="B69">
        <v>61.12572330352446</v>
      </c>
    </row>
    <row r="70" spans="1:2" x14ac:dyDescent="0.2">
      <c r="A70" t="s">
        <v>147</v>
      </c>
      <c r="B70">
        <v>31.529735682819382</v>
      </c>
    </row>
    <row r="71" spans="1:2" x14ac:dyDescent="0.2">
      <c r="A71" t="s">
        <v>148</v>
      </c>
      <c r="B71">
        <v>78.696194116669432</v>
      </c>
    </row>
    <row r="72" spans="1:2" x14ac:dyDescent="0.2">
      <c r="A72" t="s">
        <v>149</v>
      </c>
      <c r="B72">
        <v>15.057062675397567</v>
      </c>
    </row>
    <row r="73" spans="1:2" x14ac:dyDescent="0.2">
      <c r="A73" t="s">
        <v>150</v>
      </c>
      <c r="B73">
        <v>80.529411764705884</v>
      </c>
    </row>
    <row r="74" spans="1:2" x14ac:dyDescent="0.2">
      <c r="A74" t="s">
        <v>151</v>
      </c>
      <c r="B74">
        <v>25.147272588172289</v>
      </c>
    </row>
    <row r="75" spans="1:2" x14ac:dyDescent="0.2">
      <c r="A75" t="s">
        <v>152</v>
      </c>
      <c r="B75">
        <v>30.47374024130589</v>
      </c>
    </row>
    <row r="76" spans="1:2" x14ac:dyDescent="0.2">
      <c r="A76" t="s">
        <v>153</v>
      </c>
      <c r="B76">
        <v>111.46994535519126</v>
      </c>
    </row>
    <row r="77" spans="1:2" x14ac:dyDescent="0.2">
      <c r="A77" t="s">
        <v>154</v>
      </c>
      <c r="B77">
        <v>32.270771564503896</v>
      </c>
    </row>
    <row r="78" spans="1:2" x14ac:dyDescent="0.2">
      <c r="A78" t="s">
        <v>155</v>
      </c>
      <c r="B78">
        <v>52.561254491996081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2026-10-19T19:02:09Z</dcterms:modified>
</cp:coreProperties>
</file>